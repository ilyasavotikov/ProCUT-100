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29"/>
  <workbookPr/>
  <mc:AlternateContent xmlns:mc="http://schemas.openxmlformats.org/markup-compatibility/2006">
    <mc:Choice Requires="x15">
      <x15ac:absPath xmlns:x15ac="http://schemas.microsoft.com/office/spreadsheetml/2010/11/ac" url="C:\Program_PATON\Program_CUT-100P_1.0_CNC\"/>
    </mc:Choice>
  </mc:AlternateContent>
  <xr:revisionPtr revIDLastSave="0" documentId="13_ncr:1_{35FCDB28-9CDB-4475-BC53-C85676CC7F1A}" xr6:coauthVersionLast="47" xr6:coauthVersionMax="47" xr10:uidLastSave="{00000000-0000-0000-0000-000000000000}"/>
  <bookViews>
    <workbookView minimized="1" xWindow="-7530" yWindow="2355" windowWidth="15375" windowHeight="7875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17" i="1" l="1"/>
  <c r="H118" i="1" s="1"/>
  <c r="H119" i="1" s="1"/>
  <c r="H120" i="1" s="1"/>
  <c r="H121" i="1" s="1"/>
  <c r="H122" i="1" s="1"/>
  <c r="H123" i="1" s="1"/>
  <c r="H124" i="1" s="1"/>
  <c r="H125" i="1" s="1"/>
  <c r="H116" i="1"/>
  <c r="H110" i="1"/>
  <c r="H111" i="1" s="1"/>
  <c r="H112" i="1" s="1"/>
  <c r="H113" i="1" s="1"/>
  <c r="H114" i="1" s="1"/>
  <c r="H109" i="1"/>
  <c r="H102" i="1"/>
  <c r="H103" i="1" s="1"/>
  <c r="H104" i="1" s="1"/>
  <c r="H105" i="1" s="1"/>
  <c r="H106" i="1" s="1"/>
  <c r="H107" i="1" s="1"/>
  <c r="H108" i="1" s="1"/>
  <c r="H93" i="1"/>
  <c r="H94" i="1" s="1"/>
  <c r="H95" i="1" s="1"/>
  <c r="H96" i="1" s="1"/>
  <c r="H97" i="1" s="1"/>
  <c r="H98" i="1" s="1"/>
  <c r="H99" i="1" s="1"/>
  <c r="H100" i="1" s="1"/>
  <c r="H101" i="1" s="1"/>
  <c r="H66" i="1"/>
  <c r="H67" i="1" s="1"/>
  <c r="H68" i="1" s="1"/>
  <c r="H69" i="1" s="1"/>
  <c r="H70" i="1" s="1"/>
  <c r="H71" i="1" s="1"/>
  <c r="H72" i="1" s="1"/>
  <c r="H73" i="1" s="1"/>
  <c r="H74" i="1" s="1"/>
  <c r="H75" i="1" s="1"/>
  <c r="H76" i="1" s="1"/>
  <c r="H77" i="1" s="1"/>
  <c r="H78" i="1" s="1"/>
  <c r="H79" i="1" s="1"/>
  <c r="H80" i="1" s="1"/>
  <c r="H81" i="1" s="1"/>
  <c r="H82" i="1" s="1"/>
  <c r="H83" i="1" s="1"/>
  <c r="H84" i="1" s="1"/>
  <c r="H85" i="1" s="1"/>
  <c r="H86" i="1" s="1"/>
  <c r="H87" i="1" s="1"/>
  <c r="H88" i="1" s="1"/>
  <c r="H89" i="1" s="1"/>
  <c r="H90" i="1" s="1"/>
  <c r="H91" i="1" s="1"/>
  <c r="H35" i="1"/>
  <c r="H36" i="1" s="1"/>
  <c r="H37" i="1" s="1"/>
  <c r="H38" i="1" s="1"/>
  <c r="H39" i="1" s="1"/>
  <c r="H40" i="1" s="1"/>
  <c r="H41" i="1" s="1"/>
  <c r="H42" i="1" s="1"/>
  <c r="H43" i="1" s="1"/>
  <c r="H44" i="1" s="1"/>
  <c r="H45" i="1" s="1"/>
  <c r="H46" i="1" s="1"/>
  <c r="H47" i="1" s="1"/>
  <c r="H48" i="1" s="1"/>
  <c r="H49" i="1" s="1"/>
  <c r="H50" i="1" s="1"/>
  <c r="H51" i="1" s="1"/>
  <c r="H52" i="1" s="1"/>
  <c r="H53" i="1" s="1"/>
  <c r="H54" i="1" s="1"/>
  <c r="H55" i="1" s="1"/>
  <c r="H56" i="1" s="1"/>
  <c r="H57" i="1" s="1"/>
  <c r="H58" i="1" s="1"/>
  <c r="H59" i="1" s="1"/>
  <c r="H60" i="1" s="1"/>
  <c r="H61" i="1" s="1"/>
  <c r="H62" i="1" s="1"/>
  <c r="H63" i="1" s="1"/>
  <c r="H64" i="1" s="1"/>
  <c r="H21" i="1"/>
  <c r="H22" i="1" s="1"/>
  <c r="H23" i="1" s="1"/>
  <c r="H24" i="1" s="1"/>
  <c r="H25" i="1" s="1"/>
  <c r="H26" i="1" s="1"/>
  <c r="H27" i="1" s="1"/>
  <c r="H28" i="1" s="1"/>
  <c r="H29" i="1" s="1"/>
  <c r="H30" i="1" s="1"/>
  <c r="H31" i="1" s="1"/>
  <c r="H32" i="1" s="1"/>
  <c r="H33" i="1" s="1"/>
  <c r="E16" i="1"/>
  <c r="E17" i="1" s="1"/>
  <c r="E36" i="1"/>
  <c r="E37" i="1" s="1"/>
  <c r="E38" i="1" s="1"/>
  <c r="E39" i="1" s="1"/>
  <c r="E40" i="1" s="1"/>
  <c r="E19" i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B16" i="1" l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</calcChain>
</file>

<file path=xl/sharedStrings.xml><?xml version="1.0" encoding="utf-8"?>
<sst xmlns="http://schemas.openxmlformats.org/spreadsheetml/2006/main" count="3" uniqueCount="3">
  <si>
    <t>Стара 20 шт</t>
  </si>
  <si>
    <t>Нова 200 шт</t>
  </si>
  <si>
    <t>125А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</si>
</sst>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5"/>
  <sheetViews>
    <sheetView tabSelected="1" topLeftCell="A124" workbookViewId="0">
      <selection activeCell="H1" sqref="H1:H125"/>
    </sheetView>
  </sheetViews>
  <sheetFormatPr defaultRowHeight="15" x14ac:dyDescent="0.25"/>
  <cols>
    <col min="4" max="4" width="9.140625" customWidth="1"/>
  </cols>
  <sheetData>
    <row r="1" spans="1:8" x14ac:dyDescent="0.25">
      <c r="F1" t="s">
        <v>2</v>
      </c>
      <c r="G1" s="1">
        <v>1</v>
      </c>
      <c r="H1" s="1">
        <v>0</v>
      </c>
    </row>
    <row r="2" spans="1:8" x14ac:dyDescent="0.25">
      <c r="G2" s="1">
        <v>2</v>
      </c>
      <c r="H2" s="1">
        <v>0</v>
      </c>
    </row>
    <row r="3" spans="1:8" x14ac:dyDescent="0.25">
      <c r="G3" s="1">
        <v>3</v>
      </c>
      <c r="H3" s="1">
        <v>0</v>
      </c>
    </row>
    <row r="4" spans="1:8" x14ac:dyDescent="0.25">
      <c r="G4" s="1">
        <v>4</v>
      </c>
      <c r="H4" s="1">
        <v>0</v>
      </c>
    </row>
    <row r="5" spans="1:8" x14ac:dyDescent="0.25">
      <c r="G5" s="1">
        <v>5</v>
      </c>
      <c r="H5" s="1">
        <v>0</v>
      </c>
    </row>
    <row r="6" spans="1:8" x14ac:dyDescent="0.25">
      <c r="G6" s="1">
        <v>6</v>
      </c>
      <c r="H6" s="1">
        <v>0</v>
      </c>
    </row>
    <row r="7" spans="1:8" x14ac:dyDescent="0.25">
      <c r="G7" s="1">
        <v>7</v>
      </c>
      <c r="H7" s="1">
        <v>0</v>
      </c>
    </row>
    <row r="8" spans="1:8" x14ac:dyDescent="0.25">
      <c r="G8" s="1">
        <v>8</v>
      </c>
      <c r="H8" s="1">
        <v>0</v>
      </c>
    </row>
    <row r="9" spans="1:8" x14ac:dyDescent="0.25">
      <c r="A9" t="s">
        <v>0</v>
      </c>
      <c r="D9" t="s">
        <v>1</v>
      </c>
      <c r="G9" s="1">
        <v>9</v>
      </c>
      <c r="H9" s="1">
        <v>0</v>
      </c>
    </row>
    <row r="10" spans="1:8" x14ac:dyDescent="0.25">
      <c r="A10" s="1">
        <v>10</v>
      </c>
      <c r="B10" s="1"/>
      <c r="D10" s="1">
        <v>10</v>
      </c>
      <c r="E10" s="1"/>
      <c r="G10" s="1">
        <v>10</v>
      </c>
      <c r="H10" s="1">
        <v>0</v>
      </c>
    </row>
    <row r="11" spans="1:8" x14ac:dyDescent="0.25">
      <c r="A11" s="1">
        <v>11</v>
      </c>
      <c r="B11" s="1"/>
      <c r="D11" s="1">
        <v>11</v>
      </c>
      <c r="E11" s="1"/>
      <c r="G11" s="1">
        <v>11</v>
      </c>
      <c r="H11" s="1">
        <v>0</v>
      </c>
    </row>
    <row r="12" spans="1:8" x14ac:dyDescent="0.25">
      <c r="A12" s="1">
        <v>12</v>
      </c>
      <c r="B12" s="1"/>
      <c r="D12" s="1">
        <v>12</v>
      </c>
      <c r="E12" s="1"/>
      <c r="G12" s="1">
        <v>12</v>
      </c>
      <c r="H12" s="1">
        <v>0</v>
      </c>
    </row>
    <row r="13" spans="1:8" x14ac:dyDescent="0.25">
      <c r="A13" s="1">
        <v>13</v>
      </c>
      <c r="B13" s="1"/>
      <c r="D13" s="1">
        <v>13</v>
      </c>
      <c r="E13" s="1"/>
      <c r="G13" s="1">
        <v>13</v>
      </c>
      <c r="H13" s="1">
        <v>0</v>
      </c>
    </row>
    <row r="14" spans="1:8" x14ac:dyDescent="0.25">
      <c r="A14" s="1">
        <v>14</v>
      </c>
      <c r="B14" s="1"/>
      <c r="D14" s="1">
        <v>14</v>
      </c>
      <c r="E14" s="1"/>
      <c r="G14" s="1">
        <v>14</v>
      </c>
      <c r="H14" s="1">
        <v>0</v>
      </c>
    </row>
    <row r="15" spans="1:8" x14ac:dyDescent="0.25">
      <c r="A15" s="1">
        <v>15</v>
      </c>
      <c r="B15" s="1">
        <v>750</v>
      </c>
      <c r="D15" s="1">
        <v>15</v>
      </c>
      <c r="E15" s="1">
        <v>500</v>
      </c>
      <c r="G15" s="1">
        <v>15</v>
      </c>
      <c r="H15" s="1">
        <v>0</v>
      </c>
    </row>
    <row r="16" spans="1:8" x14ac:dyDescent="0.25">
      <c r="A16" s="1">
        <v>16</v>
      </c>
      <c r="B16" s="1">
        <f>B15+30</f>
        <v>780</v>
      </c>
      <c r="D16" s="1">
        <v>16</v>
      </c>
      <c r="E16" s="1">
        <f>E15+16.6</f>
        <v>516.6</v>
      </c>
      <c r="G16" s="1">
        <v>16</v>
      </c>
      <c r="H16" s="1">
        <v>0</v>
      </c>
    </row>
    <row r="17" spans="1:8" x14ac:dyDescent="0.25">
      <c r="A17" s="1">
        <v>17</v>
      </c>
      <c r="B17" s="1">
        <f t="shared" ref="B17:B20" si="0">B16+30</f>
        <v>810</v>
      </c>
      <c r="D17" s="1">
        <v>17</v>
      </c>
      <c r="E17" s="1">
        <f>E16+16.6</f>
        <v>533.20000000000005</v>
      </c>
      <c r="G17" s="1">
        <v>17</v>
      </c>
      <c r="H17" s="1">
        <v>0</v>
      </c>
    </row>
    <row r="18" spans="1:8" x14ac:dyDescent="0.25">
      <c r="A18" s="1">
        <v>18</v>
      </c>
      <c r="B18" s="1">
        <f t="shared" si="0"/>
        <v>840</v>
      </c>
      <c r="D18" s="1">
        <v>18</v>
      </c>
      <c r="E18" s="1">
        <v>550</v>
      </c>
      <c r="G18" s="1">
        <v>18</v>
      </c>
      <c r="H18" s="1">
        <v>0</v>
      </c>
    </row>
    <row r="19" spans="1:8" x14ac:dyDescent="0.25">
      <c r="A19" s="1">
        <v>19</v>
      </c>
      <c r="B19" s="1">
        <f t="shared" si="0"/>
        <v>870</v>
      </c>
      <c r="D19" s="1">
        <v>19</v>
      </c>
      <c r="E19" s="1">
        <f>E18+12.5</f>
        <v>562.5</v>
      </c>
      <c r="G19" s="1">
        <v>19</v>
      </c>
      <c r="H19" s="1">
        <v>0</v>
      </c>
    </row>
    <row r="20" spans="1:8" x14ac:dyDescent="0.25">
      <c r="A20" s="1">
        <v>20</v>
      </c>
      <c r="B20" s="1">
        <f t="shared" si="0"/>
        <v>900</v>
      </c>
      <c r="D20" s="1">
        <v>20</v>
      </c>
      <c r="E20" s="1">
        <f t="shared" ref="E20:E22" si="1">E19+12.5</f>
        <v>575</v>
      </c>
      <c r="G20" s="1">
        <v>20</v>
      </c>
      <c r="H20" s="1">
        <v>310</v>
      </c>
    </row>
    <row r="21" spans="1:8" x14ac:dyDescent="0.25">
      <c r="A21" s="1">
        <v>21</v>
      </c>
      <c r="B21" s="1">
        <f>B20+24</f>
        <v>924</v>
      </c>
      <c r="D21" s="1">
        <v>21</v>
      </c>
      <c r="E21" s="1">
        <f t="shared" si="1"/>
        <v>587.5</v>
      </c>
      <c r="G21" s="1">
        <v>21</v>
      </c>
      <c r="H21" s="1">
        <f>H20+10</f>
        <v>320</v>
      </c>
    </row>
    <row r="22" spans="1:8" x14ac:dyDescent="0.25">
      <c r="A22" s="1">
        <v>22</v>
      </c>
      <c r="B22" s="1">
        <f t="shared" ref="B22:B30" si="2">B21+24</f>
        <v>948</v>
      </c>
      <c r="D22" s="1">
        <v>22</v>
      </c>
      <c r="E22" s="1">
        <f t="shared" si="1"/>
        <v>600</v>
      </c>
      <c r="G22" s="1">
        <v>22</v>
      </c>
      <c r="H22" s="1">
        <f t="shared" ref="H22:H25" si="3">H21+10</f>
        <v>330</v>
      </c>
    </row>
    <row r="23" spans="1:8" x14ac:dyDescent="0.25">
      <c r="A23" s="1">
        <v>23</v>
      </c>
      <c r="B23" s="1">
        <f t="shared" si="2"/>
        <v>972</v>
      </c>
      <c r="D23" s="1">
        <v>23</v>
      </c>
      <c r="E23" s="1">
        <f>E22+11.5</f>
        <v>611.5</v>
      </c>
      <c r="G23" s="1">
        <v>23</v>
      </c>
      <c r="H23" s="1">
        <f t="shared" si="3"/>
        <v>340</v>
      </c>
    </row>
    <row r="24" spans="1:8" x14ac:dyDescent="0.25">
      <c r="A24" s="1">
        <v>24</v>
      </c>
      <c r="B24" s="1">
        <f t="shared" si="2"/>
        <v>996</v>
      </c>
      <c r="D24" s="1">
        <v>24</v>
      </c>
      <c r="E24" s="1">
        <f t="shared" ref="E24:E34" si="4">E23+11.5</f>
        <v>623</v>
      </c>
      <c r="G24" s="1">
        <v>24</v>
      </c>
      <c r="H24" s="1">
        <f t="shared" si="3"/>
        <v>350</v>
      </c>
    </row>
    <row r="25" spans="1:8" x14ac:dyDescent="0.25">
      <c r="A25" s="1">
        <v>25</v>
      </c>
      <c r="B25" s="1">
        <f t="shared" si="2"/>
        <v>1020</v>
      </c>
      <c r="D25" s="1">
        <v>25</v>
      </c>
      <c r="E25" s="1">
        <f t="shared" si="4"/>
        <v>634.5</v>
      </c>
      <c r="G25" s="1">
        <v>25</v>
      </c>
      <c r="H25" s="1">
        <f t="shared" si="3"/>
        <v>360</v>
      </c>
    </row>
    <row r="26" spans="1:8" x14ac:dyDescent="0.25">
      <c r="A26" s="1">
        <v>26</v>
      </c>
      <c r="B26" s="1">
        <f t="shared" si="2"/>
        <v>1044</v>
      </c>
      <c r="D26" s="1">
        <v>26</v>
      </c>
      <c r="E26" s="1">
        <f t="shared" si="4"/>
        <v>646</v>
      </c>
      <c r="G26" s="1">
        <v>26</v>
      </c>
      <c r="H26" s="1">
        <f>H25+6.66666</f>
        <v>366.66665999999998</v>
      </c>
    </row>
    <row r="27" spans="1:8" x14ac:dyDescent="0.25">
      <c r="A27" s="1">
        <v>27</v>
      </c>
      <c r="B27" s="1">
        <f t="shared" si="2"/>
        <v>1068</v>
      </c>
      <c r="D27" s="1">
        <v>27</v>
      </c>
      <c r="E27" s="1">
        <f t="shared" si="4"/>
        <v>657.5</v>
      </c>
      <c r="G27" s="1">
        <v>27</v>
      </c>
      <c r="H27" s="1">
        <f t="shared" ref="H27:H33" si="5">H26+6.66666</f>
        <v>373.33331999999996</v>
      </c>
    </row>
    <row r="28" spans="1:8" x14ac:dyDescent="0.25">
      <c r="A28" s="1">
        <v>28</v>
      </c>
      <c r="B28" s="1">
        <f t="shared" si="2"/>
        <v>1092</v>
      </c>
      <c r="D28" s="1">
        <v>28</v>
      </c>
      <c r="E28" s="1">
        <f t="shared" si="4"/>
        <v>669</v>
      </c>
      <c r="G28" s="1">
        <v>28</v>
      </c>
      <c r="H28" s="1">
        <f t="shared" si="5"/>
        <v>379.99997999999994</v>
      </c>
    </row>
    <row r="29" spans="1:8" x14ac:dyDescent="0.25">
      <c r="A29" s="1">
        <v>29</v>
      </c>
      <c r="B29" s="1">
        <f t="shared" si="2"/>
        <v>1116</v>
      </c>
      <c r="D29" s="1">
        <v>29</v>
      </c>
      <c r="E29" s="1">
        <f t="shared" si="4"/>
        <v>680.5</v>
      </c>
      <c r="G29" s="1">
        <v>29</v>
      </c>
      <c r="H29" s="1">
        <f t="shared" si="5"/>
        <v>386.66663999999992</v>
      </c>
    </row>
    <row r="30" spans="1:8" x14ac:dyDescent="0.25">
      <c r="A30" s="1">
        <v>30</v>
      </c>
      <c r="B30" s="1">
        <f t="shared" si="2"/>
        <v>1140</v>
      </c>
      <c r="D30" s="1">
        <v>30</v>
      </c>
      <c r="E30" s="1">
        <f t="shared" si="4"/>
        <v>692</v>
      </c>
      <c r="G30" s="1">
        <v>30</v>
      </c>
      <c r="H30" s="1">
        <f t="shared" si="5"/>
        <v>393.33329999999989</v>
      </c>
    </row>
    <row r="31" spans="1:8" x14ac:dyDescent="0.25">
      <c r="A31" s="1">
        <v>31</v>
      </c>
      <c r="B31" s="1">
        <f>B30+33</f>
        <v>1173</v>
      </c>
      <c r="D31" s="1">
        <v>31</v>
      </c>
      <c r="E31" s="1">
        <f t="shared" si="4"/>
        <v>703.5</v>
      </c>
      <c r="G31" s="1">
        <v>31</v>
      </c>
      <c r="H31" s="1">
        <f t="shared" si="5"/>
        <v>399.99995999999987</v>
      </c>
    </row>
    <row r="32" spans="1:8" x14ac:dyDescent="0.25">
      <c r="A32" s="1">
        <v>32</v>
      </c>
      <c r="B32" s="1">
        <f t="shared" ref="B32:B40" si="6">B31+33</f>
        <v>1206</v>
      </c>
      <c r="D32" s="1">
        <v>32</v>
      </c>
      <c r="E32" s="1">
        <f t="shared" si="4"/>
        <v>715</v>
      </c>
      <c r="G32" s="1">
        <v>32</v>
      </c>
      <c r="H32" s="1">
        <f t="shared" si="5"/>
        <v>406.66661999999985</v>
      </c>
    </row>
    <row r="33" spans="1:8" x14ac:dyDescent="0.25">
      <c r="A33" s="1">
        <v>33</v>
      </c>
      <c r="B33" s="1">
        <f t="shared" si="6"/>
        <v>1239</v>
      </c>
      <c r="D33" s="1">
        <v>33</v>
      </c>
      <c r="E33" s="1">
        <f t="shared" si="4"/>
        <v>726.5</v>
      </c>
      <c r="G33" s="1">
        <v>33</v>
      </c>
      <c r="H33" s="1">
        <f t="shared" si="5"/>
        <v>413.33327999999983</v>
      </c>
    </row>
    <row r="34" spans="1:8" x14ac:dyDescent="0.25">
      <c r="A34" s="1">
        <v>34</v>
      </c>
      <c r="B34" s="1">
        <f t="shared" si="6"/>
        <v>1272</v>
      </c>
      <c r="D34" s="1">
        <v>34</v>
      </c>
      <c r="E34" s="1">
        <f t="shared" si="4"/>
        <v>738</v>
      </c>
      <c r="G34" s="1">
        <v>34</v>
      </c>
      <c r="H34" s="1">
        <v>420</v>
      </c>
    </row>
    <row r="35" spans="1:8" x14ac:dyDescent="0.25">
      <c r="A35" s="1">
        <v>35</v>
      </c>
      <c r="B35" s="1">
        <f t="shared" si="6"/>
        <v>1305</v>
      </c>
      <c r="D35" s="1">
        <v>35</v>
      </c>
      <c r="E35" s="1">
        <v>750</v>
      </c>
      <c r="G35" s="1">
        <v>35</v>
      </c>
      <c r="H35" s="1">
        <f>H34+5</f>
        <v>425</v>
      </c>
    </row>
    <row r="36" spans="1:8" x14ac:dyDescent="0.25">
      <c r="A36" s="1">
        <v>36</v>
      </c>
      <c r="B36" s="1">
        <f t="shared" si="6"/>
        <v>1338</v>
      </c>
      <c r="D36" s="1">
        <v>36</v>
      </c>
      <c r="E36" s="1">
        <f>E35+12</f>
        <v>762</v>
      </c>
      <c r="G36" s="1">
        <v>36</v>
      </c>
      <c r="H36" s="1">
        <f t="shared" ref="H36:H46" si="7">H35+5</f>
        <v>430</v>
      </c>
    </row>
    <row r="37" spans="1:8" x14ac:dyDescent="0.25">
      <c r="A37" s="1">
        <v>37</v>
      </c>
      <c r="B37" s="1">
        <f t="shared" si="6"/>
        <v>1371</v>
      </c>
      <c r="D37" s="1">
        <v>37</v>
      </c>
      <c r="E37" s="1">
        <f t="shared" ref="E37:E39" si="8">E36+12</f>
        <v>774</v>
      </c>
      <c r="G37" s="1">
        <v>37</v>
      </c>
      <c r="H37" s="1">
        <f t="shared" si="7"/>
        <v>435</v>
      </c>
    </row>
    <row r="38" spans="1:8" x14ac:dyDescent="0.25">
      <c r="A38" s="1">
        <v>38</v>
      </c>
      <c r="B38" s="1">
        <f t="shared" si="6"/>
        <v>1404</v>
      </c>
      <c r="D38" s="1">
        <v>38</v>
      </c>
      <c r="E38" s="1">
        <f t="shared" si="8"/>
        <v>786</v>
      </c>
      <c r="G38" s="1">
        <v>38</v>
      </c>
      <c r="H38" s="1">
        <f t="shared" si="7"/>
        <v>440</v>
      </c>
    </row>
    <row r="39" spans="1:8" x14ac:dyDescent="0.25">
      <c r="A39" s="1">
        <v>39</v>
      </c>
      <c r="B39" s="1">
        <f t="shared" si="6"/>
        <v>1437</v>
      </c>
      <c r="D39" s="1">
        <v>39</v>
      </c>
      <c r="E39" s="1">
        <f t="shared" si="8"/>
        <v>798</v>
      </c>
      <c r="G39" s="1">
        <v>39</v>
      </c>
      <c r="H39" s="1">
        <f t="shared" si="7"/>
        <v>445</v>
      </c>
    </row>
    <row r="40" spans="1:8" x14ac:dyDescent="0.25">
      <c r="A40" s="1">
        <v>40</v>
      </c>
      <c r="B40" s="1">
        <f t="shared" si="6"/>
        <v>1470</v>
      </c>
      <c r="D40" s="1">
        <v>40</v>
      </c>
      <c r="E40" s="1">
        <f>E39+12</f>
        <v>810</v>
      </c>
      <c r="G40" s="1">
        <v>40</v>
      </c>
      <c r="H40" s="1">
        <f t="shared" si="7"/>
        <v>450</v>
      </c>
    </row>
    <row r="41" spans="1:8" x14ac:dyDescent="0.25">
      <c r="G41" s="1">
        <v>41</v>
      </c>
      <c r="H41" s="1">
        <f t="shared" si="7"/>
        <v>455</v>
      </c>
    </row>
    <row r="42" spans="1:8" x14ac:dyDescent="0.25">
      <c r="G42" s="1">
        <v>42</v>
      </c>
      <c r="H42" s="1">
        <f t="shared" si="7"/>
        <v>460</v>
      </c>
    </row>
    <row r="43" spans="1:8" x14ac:dyDescent="0.25">
      <c r="G43" s="1">
        <v>43</v>
      </c>
      <c r="H43" s="1">
        <f t="shared" si="7"/>
        <v>465</v>
      </c>
    </row>
    <row r="44" spans="1:8" x14ac:dyDescent="0.25">
      <c r="G44" s="1">
        <v>44</v>
      </c>
      <c r="H44" s="1">
        <f t="shared" si="7"/>
        <v>470</v>
      </c>
    </row>
    <row r="45" spans="1:8" x14ac:dyDescent="0.25">
      <c r="G45" s="1">
        <v>45</v>
      </c>
      <c r="H45" s="1">
        <f t="shared" si="7"/>
        <v>475</v>
      </c>
    </row>
    <row r="46" spans="1:8" x14ac:dyDescent="0.25">
      <c r="G46" s="1">
        <v>46</v>
      </c>
      <c r="H46" s="1">
        <f t="shared" si="7"/>
        <v>480</v>
      </c>
    </row>
    <row r="47" spans="1:8" x14ac:dyDescent="0.25">
      <c r="G47" s="1">
        <v>47</v>
      </c>
      <c r="H47" s="1">
        <f>H46+5</f>
        <v>485</v>
      </c>
    </row>
    <row r="48" spans="1:8" x14ac:dyDescent="0.25">
      <c r="G48" s="1">
        <v>48</v>
      </c>
      <c r="H48" s="1">
        <f t="shared" ref="H48:H50" si="9">H47+5</f>
        <v>490</v>
      </c>
    </row>
    <row r="49" spans="7:8" x14ac:dyDescent="0.25">
      <c r="G49" s="1">
        <v>49</v>
      </c>
      <c r="H49" s="1">
        <f t="shared" si="9"/>
        <v>495</v>
      </c>
    </row>
    <row r="50" spans="7:8" x14ac:dyDescent="0.25">
      <c r="G50" s="1">
        <v>50</v>
      </c>
      <c r="H50" s="1">
        <f t="shared" si="9"/>
        <v>500</v>
      </c>
    </row>
    <row r="51" spans="7:8" x14ac:dyDescent="0.25">
      <c r="G51" s="1">
        <v>51</v>
      </c>
      <c r="H51" s="1">
        <f>H50+3.75</f>
        <v>503.75</v>
      </c>
    </row>
    <row r="52" spans="7:8" x14ac:dyDescent="0.25">
      <c r="G52" s="1">
        <v>52</v>
      </c>
      <c r="H52" s="1">
        <f t="shared" ref="H52:H58" si="10">H51+3.75</f>
        <v>507.5</v>
      </c>
    </row>
    <row r="53" spans="7:8" x14ac:dyDescent="0.25">
      <c r="G53" s="1">
        <v>53</v>
      </c>
      <c r="H53" s="1">
        <f t="shared" si="10"/>
        <v>511.25</v>
      </c>
    </row>
    <row r="54" spans="7:8" x14ac:dyDescent="0.25">
      <c r="G54" s="1">
        <v>54</v>
      </c>
      <c r="H54" s="1">
        <f t="shared" si="10"/>
        <v>515</v>
      </c>
    </row>
    <row r="55" spans="7:8" x14ac:dyDescent="0.25">
      <c r="G55" s="1">
        <v>55</v>
      </c>
      <c r="H55" s="1">
        <f t="shared" si="10"/>
        <v>518.75</v>
      </c>
    </row>
    <row r="56" spans="7:8" x14ac:dyDescent="0.25">
      <c r="G56" s="1">
        <v>56</v>
      </c>
      <c r="H56" s="1">
        <f t="shared" si="10"/>
        <v>522.5</v>
      </c>
    </row>
    <row r="57" spans="7:8" x14ac:dyDescent="0.25">
      <c r="G57" s="1">
        <v>57</v>
      </c>
      <c r="H57" s="1">
        <f t="shared" si="10"/>
        <v>526.25</v>
      </c>
    </row>
    <row r="58" spans="7:8" x14ac:dyDescent="0.25">
      <c r="G58" s="1">
        <v>58</v>
      </c>
      <c r="H58" s="1">
        <f t="shared" si="10"/>
        <v>530</v>
      </c>
    </row>
    <row r="59" spans="7:8" x14ac:dyDescent="0.25">
      <c r="G59" s="1">
        <v>59</v>
      </c>
      <c r="H59" s="1">
        <f>H58+4.2857</f>
        <v>534.28570000000002</v>
      </c>
    </row>
    <row r="60" spans="7:8" x14ac:dyDescent="0.25">
      <c r="G60" s="1">
        <v>60</v>
      </c>
      <c r="H60" s="1">
        <f t="shared" ref="H60:H64" si="11">H59+4.2857</f>
        <v>538.57140000000004</v>
      </c>
    </row>
    <row r="61" spans="7:8" x14ac:dyDescent="0.25">
      <c r="G61" s="1">
        <v>61</v>
      </c>
      <c r="H61" s="1">
        <f t="shared" si="11"/>
        <v>542.85710000000006</v>
      </c>
    </row>
    <row r="62" spans="7:8" x14ac:dyDescent="0.25">
      <c r="G62" s="1">
        <v>62</v>
      </c>
      <c r="H62" s="1">
        <f t="shared" si="11"/>
        <v>547.14280000000008</v>
      </c>
    </row>
    <row r="63" spans="7:8" x14ac:dyDescent="0.25">
      <c r="G63" s="1">
        <v>63</v>
      </c>
      <c r="H63" s="1">
        <f t="shared" si="11"/>
        <v>551.4285000000001</v>
      </c>
    </row>
    <row r="64" spans="7:8" x14ac:dyDescent="0.25">
      <c r="G64" s="1">
        <v>64</v>
      </c>
      <c r="H64" s="1">
        <f t="shared" si="11"/>
        <v>555.71420000000012</v>
      </c>
    </row>
    <row r="65" spans="7:8" x14ac:dyDescent="0.25">
      <c r="G65" s="1">
        <v>65</v>
      </c>
      <c r="H65" s="1">
        <v>560</v>
      </c>
    </row>
    <row r="66" spans="7:8" x14ac:dyDescent="0.25">
      <c r="G66" s="1">
        <v>66</v>
      </c>
      <c r="H66" s="1">
        <f>H65+3</f>
        <v>563</v>
      </c>
    </row>
    <row r="67" spans="7:8" x14ac:dyDescent="0.25">
      <c r="G67" s="1">
        <v>67</v>
      </c>
      <c r="H67" s="1">
        <f t="shared" ref="H67:H70" si="12">H66+3</f>
        <v>566</v>
      </c>
    </row>
    <row r="68" spans="7:8" x14ac:dyDescent="0.25">
      <c r="G68" s="1">
        <v>68</v>
      </c>
      <c r="H68" s="1">
        <f t="shared" si="12"/>
        <v>569</v>
      </c>
    </row>
    <row r="69" spans="7:8" x14ac:dyDescent="0.25">
      <c r="G69" s="1">
        <v>69</v>
      </c>
      <c r="H69" s="1">
        <f t="shared" si="12"/>
        <v>572</v>
      </c>
    </row>
    <row r="70" spans="7:8" x14ac:dyDescent="0.25">
      <c r="G70" s="1">
        <v>70</v>
      </c>
      <c r="H70" s="1">
        <f t="shared" si="12"/>
        <v>575</v>
      </c>
    </row>
    <row r="71" spans="7:8" x14ac:dyDescent="0.25">
      <c r="G71" s="1">
        <v>71</v>
      </c>
      <c r="H71" s="1">
        <f>H70+3.7</f>
        <v>578.70000000000005</v>
      </c>
    </row>
    <row r="72" spans="7:8" x14ac:dyDescent="0.25">
      <c r="G72" s="1">
        <v>72</v>
      </c>
      <c r="H72" s="1">
        <f t="shared" ref="H72:H80" si="13">H71+3.7</f>
        <v>582.40000000000009</v>
      </c>
    </row>
    <row r="73" spans="7:8" x14ac:dyDescent="0.25">
      <c r="G73" s="1">
        <v>73</v>
      </c>
      <c r="H73" s="1">
        <f t="shared" si="13"/>
        <v>586.10000000000014</v>
      </c>
    </row>
    <row r="74" spans="7:8" x14ac:dyDescent="0.25">
      <c r="G74" s="1">
        <v>74</v>
      </c>
      <c r="H74" s="1">
        <f t="shared" si="13"/>
        <v>589.80000000000018</v>
      </c>
    </row>
    <row r="75" spans="7:8" x14ac:dyDescent="0.25">
      <c r="G75" s="1">
        <v>75</v>
      </c>
      <c r="H75" s="1">
        <f t="shared" si="13"/>
        <v>593.50000000000023</v>
      </c>
    </row>
    <row r="76" spans="7:8" x14ac:dyDescent="0.25">
      <c r="G76" s="1">
        <v>76</v>
      </c>
      <c r="H76" s="1">
        <f t="shared" si="13"/>
        <v>597.20000000000027</v>
      </c>
    </row>
    <row r="77" spans="7:8" x14ac:dyDescent="0.25">
      <c r="G77" s="1">
        <v>77</v>
      </c>
      <c r="H77" s="1">
        <f t="shared" si="13"/>
        <v>600.90000000000032</v>
      </c>
    </row>
    <row r="78" spans="7:8" x14ac:dyDescent="0.25">
      <c r="G78" s="1">
        <v>78</v>
      </c>
      <c r="H78" s="1">
        <f t="shared" si="13"/>
        <v>604.60000000000036</v>
      </c>
    </row>
    <row r="79" spans="7:8" x14ac:dyDescent="0.25">
      <c r="G79" s="1">
        <v>79</v>
      </c>
      <c r="H79" s="1">
        <f t="shared" si="13"/>
        <v>608.30000000000041</v>
      </c>
    </row>
    <row r="80" spans="7:8" x14ac:dyDescent="0.25">
      <c r="G80" s="1">
        <v>80</v>
      </c>
      <c r="H80" s="1">
        <f t="shared" si="13"/>
        <v>612.00000000000045</v>
      </c>
    </row>
    <row r="81" spans="7:8" x14ac:dyDescent="0.25">
      <c r="G81" s="1">
        <v>81</v>
      </c>
      <c r="H81" s="1">
        <f>H80+3.83333</f>
        <v>615.8333300000005</v>
      </c>
    </row>
    <row r="82" spans="7:8" x14ac:dyDescent="0.25">
      <c r="G82" s="1">
        <v>82</v>
      </c>
      <c r="H82" s="1">
        <f t="shared" ref="H82:H86" si="14">H81+3.83333</f>
        <v>619.66666000000055</v>
      </c>
    </row>
    <row r="83" spans="7:8" x14ac:dyDescent="0.25">
      <c r="G83" s="1">
        <v>83</v>
      </c>
      <c r="H83" s="1">
        <f t="shared" si="14"/>
        <v>623.49999000000059</v>
      </c>
    </row>
    <row r="84" spans="7:8" x14ac:dyDescent="0.25">
      <c r="G84" s="1">
        <v>84</v>
      </c>
      <c r="H84" s="1">
        <f t="shared" si="14"/>
        <v>627.33332000000064</v>
      </c>
    </row>
    <row r="85" spans="7:8" x14ac:dyDescent="0.25">
      <c r="G85" s="1">
        <v>85</v>
      </c>
      <c r="H85" s="1">
        <f t="shared" si="14"/>
        <v>631.16665000000069</v>
      </c>
    </row>
    <row r="86" spans="7:8" x14ac:dyDescent="0.25">
      <c r="G86" s="1">
        <v>86</v>
      </c>
      <c r="H86" s="1">
        <f t="shared" si="14"/>
        <v>634.99998000000073</v>
      </c>
    </row>
    <row r="87" spans="7:8" x14ac:dyDescent="0.25">
      <c r="G87" s="1">
        <v>87</v>
      </c>
      <c r="H87" s="1">
        <f>H86+3.83</f>
        <v>638.82998000000077</v>
      </c>
    </row>
    <row r="88" spans="7:8" x14ac:dyDescent="0.25">
      <c r="G88" s="1">
        <v>88</v>
      </c>
      <c r="H88" s="1">
        <f t="shared" ref="H88:H91" si="15">H87+3.83</f>
        <v>642.65998000000081</v>
      </c>
    </row>
    <row r="89" spans="7:8" x14ac:dyDescent="0.25">
      <c r="G89" s="1">
        <v>89</v>
      </c>
      <c r="H89" s="1">
        <f t="shared" si="15"/>
        <v>646.48998000000086</v>
      </c>
    </row>
    <row r="90" spans="7:8" x14ac:dyDescent="0.25">
      <c r="G90" s="1">
        <v>90</v>
      </c>
      <c r="H90" s="1">
        <f t="shared" si="15"/>
        <v>650.3199800000009</v>
      </c>
    </row>
    <row r="91" spans="7:8" x14ac:dyDescent="0.25">
      <c r="G91" s="1">
        <v>91</v>
      </c>
      <c r="H91" s="1">
        <f t="shared" si="15"/>
        <v>654.14998000000094</v>
      </c>
    </row>
    <row r="92" spans="7:8" x14ac:dyDescent="0.25">
      <c r="G92" s="1">
        <v>92</v>
      </c>
      <c r="H92" s="1">
        <v>658</v>
      </c>
    </row>
    <row r="93" spans="7:8" x14ac:dyDescent="0.25">
      <c r="G93" s="1">
        <v>93</v>
      </c>
      <c r="H93" s="1">
        <f>H92+4.25</f>
        <v>662.25</v>
      </c>
    </row>
    <row r="94" spans="7:8" x14ac:dyDescent="0.25">
      <c r="G94" s="1">
        <v>94</v>
      </c>
      <c r="H94" s="1">
        <f t="shared" ref="H94:H100" si="16">H93+4.25</f>
        <v>666.5</v>
      </c>
    </row>
    <row r="95" spans="7:8" x14ac:dyDescent="0.25">
      <c r="G95" s="1">
        <v>95</v>
      </c>
      <c r="H95" s="1">
        <f t="shared" si="16"/>
        <v>670.75</v>
      </c>
    </row>
    <row r="96" spans="7:8" x14ac:dyDescent="0.25">
      <c r="G96" s="1">
        <v>96</v>
      </c>
      <c r="H96" s="1">
        <f t="shared" si="16"/>
        <v>675</v>
      </c>
    </row>
    <row r="97" spans="7:8" x14ac:dyDescent="0.25">
      <c r="G97" s="1">
        <v>97</v>
      </c>
      <c r="H97" s="1">
        <f t="shared" si="16"/>
        <v>679.25</v>
      </c>
    </row>
    <row r="98" spans="7:8" x14ac:dyDescent="0.25">
      <c r="G98" s="1">
        <v>98</v>
      </c>
      <c r="H98" s="1">
        <f t="shared" si="16"/>
        <v>683.5</v>
      </c>
    </row>
    <row r="99" spans="7:8" x14ac:dyDescent="0.25">
      <c r="G99" s="1">
        <v>99</v>
      </c>
      <c r="H99" s="1">
        <f t="shared" si="16"/>
        <v>687.75</v>
      </c>
    </row>
    <row r="100" spans="7:8" x14ac:dyDescent="0.25">
      <c r="G100" s="1">
        <v>100</v>
      </c>
      <c r="H100" s="1">
        <f t="shared" si="16"/>
        <v>692</v>
      </c>
    </row>
    <row r="101" spans="7:8" x14ac:dyDescent="0.25">
      <c r="G101" s="1">
        <v>101</v>
      </c>
      <c r="H101" s="1">
        <f>H100+2.875</f>
        <v>694.875</v>
      </c>
    </row>
    <row r="102" spans="7:8" x14ac:dyDescent="0.25">
      <c r="G102" s="1">
        <v>102</v>
      </c>
      <c r="H102" s="1">
        <f t="shared" ref="H102:H108" si="17">H101+2.875</f>
        <v>697.75</v>
      </c>
    </row>
    <row r="103" spans="7:8" x14ac:dyDescent="0.25">
      <c r="G103" s="1">
        <v>103</v>
      </c>
      <c r="H103" s="1">
        <f t="shared" si="17"/>
        <v>700.625</v>
      </c>
    </row>
    <row r="104" spans="7:8" x14ac:dyDescent="0.25">
      <c r="G104" s="1">
        <v>104</v>
      </c>
      <c r="H104" s="1">
        <f t="shared" si="17"/>
        <v>703.5</v>
      </c>
    </row>
    <row r="105" spans="7:8" x14ac:dyDescent="0.25">
      <c r="G105" s="1">
        <v>105</v>
      </c>
      <c r="H105" s="1">
        <f t="shared" si="17"/>
        <v>706.375</v>
      </c>
    </row>
    <row r="106" spans="7:8" x14ac:dyDescent="0.25">
      <c r="G106" s="1">
        <v>106</v>
      </c>
      <c r="H106" s="1">
        <f t="shared" si="17"/>
        <v>709.25</v>
      </c>
    </row>
    <row r="107" spans="7:8" x14ac:dyDescent="0.25">
      <c r="G107" s="1">
        <v>107</v>
      </c>
      <c r="H107" s="1">
        <f t="shared" si="17"/>
        <v>712.125</v>
      </c>
    </row>
    <row r="108" spans="7:8" x14ac:dyDescent="0.25">
      <c r="G108" s="1">
        <v>108</v>
      </c>
      <c r="H108" s="1">
        <f t="shared" si="17"/>
        <v>715</v>
      </c>
    </row>
    <row r="109" spans="7:8" x14ac:dyDescent="0.25">
      <c r="G109" s="1">
        <v>109</v>
      </c>
      <c r="H109" s="1">
        <f>H108+3.2857</f>
        <v>718.28570000000002</v>
      </c>
    </row>
    <row r="110" spans="7:8" x14ac:dyDescent="0.25">
      <c r="G110" s="1">
        <v>110</v>
      </c>
      <c r="H110" s="1">
        <f t="shared" ref="H110:H115" si="18">H109+3.2857</f>
        <v>721.57140000000004</v>
      </c>
    </row>
    <row r="111" spans="7:8" x14ac:dyDescent="0.25">
      <c r="G111" s="1">
        <v>111</v>
      </c>
      <c r="H111" s="1">
        <f t="shared" si="18"/>
        <v>724.85710000000006</v>
      </c>
    </row>
    <row r="112" spans="7:8" x14ac:dyDescent="0.25">
      <c r="G112" s="1">
        <v>112</v>
      </c>
      <c r="H112" s="1">
        <f t="shared" si="18"/>
        <v>728.14280000000008</v>
      </c>
    </row>
    <row r="113" spans="7:8" x14ac:dyDescent="0.25">
      <c r="G113" s="1">
        <v>113</v>
      </c>
      <c r="H113" s="1">
        <f t="shared" si="18"/>
        <v>731.4285000000001</v>
      </c>
    </row>
    <row r="114" spans="7:8" x14ac:dyDescent="0.25">
      <c r="G114" s="1">
        <v>114</v>
      </c>
      <c r="H114" s="1">
        <f t="shared" si="18"/>
        <v>734.71420000000012</v>
      </c>
    </row>
    <row r="115" spans="7:8" x14ac:dyDescent="0.25">
      <c r="G115" s="1">
        <v>115</v>
      </c>
      <c r="H115" s="1">
        <v>738</v>
      </c>
    </row>
    <row r="116" spans="7:8" x14ac:dyDescent="0.25">
      <c r="G116" s="1">
        <v>116</v>
      </c>
      <c r="H116" s="1">
        <f>H115+3.6</f>
        <v>741.6</v>
      </c>
    </row>
    <row r="117" spans="7:8" x14ac:dyDescent="0.25">
      <c r="G117" s="1">
        <v>117</v>
      </c>
      <c r="H117" s="1">
        <f t="shared" ref="H117:H125" si="19">H116+3.6</f>
        <v>745.2</v>
      </c>
    </row>
    <row r="118" spans="7:8" x14ac:dyDescent="0.25">
      <c r="G118" s="1">
        <v>118</v>
      </c>
      <c r="H118" s="1">
        <f t="shared" si="19"/>
        <v>748.80000000000007</v>
      </c>
    </row>
    <row r="119" spans="7:8" x14ac:dyDescent="0.25">
      <c r="G119" s="1">
        <v>119</v>
      </c>
      <c r="H119" s="1">
        <f t="shared" si="19"/>
        <v>752.40000000000009</v>
      </c>
    </row>
    <row r="120" spans="7:8" x14ac:dyDescent="0.25">
      <c r="G120" s="1">
        <v>120</v>
      </c>
      <c r="H120" s="1">
        <f t="shared" si="19"/>
        <v>756.00000000000011</v>
      </c>
    </row>
    <row r="121" spans="7:8" x14ac:dyDescent="0.25">
      <c r="G121" s="1">
        <v>121</v>
      </c>
      <c r="H121" s="1">
        <f t="shared" si="19"/>
        <v>759.60000000000014</v>
      </c>
    </row>
    <row r="122" spans="7:8" x14ac:dyDescent="0.25">
      <c r="G122" s="1">
        <v>122</v>
      </c>
      <c r="H122" s="1">
        <f t="shared" si="19"/>
        <v>763.20000000000016</v>
      </c>
    </row>
    <row r="123" spans="7:8" x14ac:dyDescent="0.25">
      <c r="G123" s="1">
        <v>123</v>
      </c>
      <c r="H123" s="1">
        <f t="shared" si="19"/>
        <v>766.80000000000018</v>
      </c>
    </row>
    <row r="124" spans="7:8" x14ac:dyDescent="0.25">
      <c r="G124" s="1">
        <v>124</v>
      </c>
      <c r="H124" s="1">
        <f t="shared" si="19"/>
        <v>770.4000000000002</v>
      </c>
    </row>
    <row r="125" spans="7:8" x14ac:dyDescent="0.25">
      <c r="G125" s="1">
        <v>125</v>
      </c>
      <c r="H125" s="1">
        <f t="shared" si="19"/>
        <v>774.00000000000023</v>
      </c>
    </row>
  </sheetData>
  <pageMargins left="0.7" right="0.7" top="0.75" bottom="0.75" header="0.3" footer="0.3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Влад</dc:creator>
  <cp:lastModifiedBy>Professional</cp:lastModifiedBy>
  <cp:lastPrinted>2023-05-23T08:07:17Z</cp:lastPrinted>
  <dcterms:created xsi:type="dcterms:W3CDTF">2021-06-16T12:40:25Z</dcterms:created>
  <dcterms:modified xsi:type="dcterms:W3CDTF">2023-10-18T14:08:04Z</dcterms:modified>
</cp:coreProperties>
</file>